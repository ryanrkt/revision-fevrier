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hidePivotFieldList="1" defaultThemeVersion="166925"/>
  <xr:revisionPtr revIDLastSave="0" documentId="8_{32E0FF19-7035-41BE-AB6D-3A35C22DF6D3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Tableau" sheetId="3" r:id="rId1"/>
    <sheet name="Taches" sheetId="1" r:id="rId2"/>
    <sheet name="Global" sheetId="2" r:id="rId3"/>
  </sheets>
  <calcPr calcId="191028"/>
  <pivotCaches>
    <pivotCache cacheId="174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2" i="2"/>
  <c r="C2" i="2"/>
  <c r="B2" i="2"/>
  <c r="A2" i="2"/>
  <c r="A3" i="2" s="1"/>
  <c r="H2" i="1"/>
  <c r="E2" i="2" l="1"/>
</calcChain>
</file>

<file path=xl/sharedStrings.xml><?xml version="1.0" encoding="utf-8"?>
<sst xmlns="http://schemas.openxmlformats.org/spreadsheetml/2006/main" count="25" uniqueCount="23">
  <si>
    <t>Qui</t>
  </si>
  <si>
    <t>Somme de Estimation</t>
  </si>
  <si>
    <t>Ryan</t>
  </si>
  <si>
    <t>(vide)</t>
  </si>
  <si>
    <t>Total général</t>
  </si>
  <si>
    <t>Module</t>
  </si>
  <si>
    <t xml:space="preserve">Page </t>
  </si>
  <si>
    <t xml:space="preserve">Description </t>
  </si>
  <si>
    <t>Type</t>
  </si>
  <si>
    <t>Estimation</t>
  </si>
  <si>
    <t>Temps passé</t>
  </si>
  <si>
    <t>Reste à faire</t>
  </si>
  <si>
    <t>Avancement</t>
  </si>
  <si>
    <t xml:space="preserve">Status </t>
  </si>
  <si>
    <t>Login</t>
  </si>
  <si>
    <t>login.php</t>
  </si>
  <si>
    <t>Creation HTML</t>
  </si>
  <si>
    <t>Affichage</t>
  </si>
  <si>
    <t>Estimation total</t>
  </si>
  <si>
    <t>Temps passé total</t>
  </si>
  <si>
    <t>Reste à faire total</t>
  </si>
  <si>
    <t xml:space="preserve">Avancement </t>
  </si>
  <si>
    <t>Dépassement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</si>
</sst>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897602199075" createdVersion="8" refreshedVersion="8" minRefreshableVersion="3" recordCount="2" xr:uid="{9400FB63-8D99-4892-8EE6-58791DED691A}">
  <cacheSource type="worksheet">
    <worksheetSource ref="A1:J1048576" sheet="Taches"/>
  </cacheSource>
  <cacheFields count="10">
    <cacheField name="Module" numFmtId="0">
      <sharedItems containsBlank="1"/>
    </cacheField>
    <cacheField name="Page " numFmtId="0">
      <sharedItems containsBlank="1"/>
    </cacheField>
    <cacheField name="Description " numFmtId="0">
      <sharedItems containsBlank="1"/>
    </cacheField>
    <cacheField name="Type" numFmtId="0">
      <sharedItems containsBlank="1"/>
    </cacheField>
    <cacheField name="Estimation" numFmtId="0">
      <sharedItems containsString="0" containsBlank="1" containsNumber="1" containsInteger="1" minValue="30" maxValue="30" count="2">
        <n v="30"/>
        <m/>
      </sharedItems>
    </cacheField>
    <cacheField name="Temps passé" numFmtId="0">
      <sharedItems containsString="0" containsBlank="1" containsNumber="1" containsInteger="1" minValue="29" maxValue="29"/>
    </cacheField>
    <cacheField name="Reste à faire" numFmtId="0">
      <sharedItems containsString="0" containsBlank="1" containsNumber="1" containsInteger="1" minValue="1" maxValue="1"/>
    </cacheField>
    <cacheField name="Avancement" numFmtId="0">
      <sharedItems containsString="0" containsBlank="1" containsNumber="1" minValue="0.96666666666666667" maxValue="0.96666666666666667"/>
    </cacheField>
    <cacheField name="Qui" numFmtId="0">
      <sharedItems containsBlank="1" count="2">
        <s v="Ryan"/>
        <m/>
      </sharedItems>
    </cacheField>
    <cacheField name="Status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Login"/>
    <s v="login.php"/>
    <s v="Creation HTML"/>
    <s v="Affichage"/>
    <x v="0"/>
    <n v="29"/>
    <n v="1"/>
    <n v="0.96666666666666667"/>
    <x v="0"/>
    <m/>
  </r>
  <r>
    <m/>
    <m/>
    <m/>
    <m/>
    <x v="1"/>
    <m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DA384-4985-4541-AEE1-B0B19E34101B}" name="Tableau croisé dynamique1" cacheId="174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B6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omme de Estimation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418A-BFB2-4F84-810F-DD0C827B1652}">
  <dimension ref="A3:B6"/>
  <sheetViews>
    <sheetView workbookViewId="0">
      <selection activeCell="H14" sqref="H14"/>
    </sheetView>
  </sheetViews>
  <sheetFormatPr defaultRowHeight="15"/>
  <cols>
    <col min="1" max="1" width="12.28515625" bestFit="1" customWidth="1"/>
    <col min="2" max="2" width="20.28515625" bestFit="1" customWidth="1"/>
    <col min="3" max="3" width="6" bestFit="1" customWidth="1"/>
    <col min="4" max="4" width="12.28515625" bestFit="1" customWidth="1"/>
  </cols>
  <sheetData>
    <row r="3" spans="1:2">
      <c r="A3" s="4" t="s">
        <v>0</v>
      </c>
      <c r="B3" t="s">
        <v>1</v>
      </c>
    </row>
    <row r="4" spans="1:2">
      <c r="A4" t="s">
        <v>2</v>
      </c>
      <c r="B4" s="5">
        <v>30</v>
      </c>
    </row>
    <row r="5" spans="1:2">
      <c r="A5" t="s">
        <v>3</v>
      </c>
      <c r="B5" s="5"/>
    </row>
    <row r="6" spans="1:2">
      <c r="A6" t="s">
        <v>4</v>
      </c>
      <c r="B6" s="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"/>
  <sheetViews>
    <sheetView workbookViewId="0">
      <selection activeCell="H2" sqref="H2"/>
    </sheetView>
  </sheetViews>
  <sheetFormatPr defaultRowHeight="15"/>
  <cols>
    <col min="3" max="3" width="13.85546875" bestFit="1" customWidth="1"/>
    <col min="5" max="5" width="10.140625" bestFit="1" customWidth="1"/>
    <col min="6" max="6" width="11.85546875" bestFit="1" customWidth="1"/>
    <col min="7" max="7" width="11.5703125" bestFit="1" customWidth="1"/>
    <col min="8" max="8" width="11.85546875" bestFit="1" customWidth="1"/>
  </cols>
  <sheetData>
    <row r="1" spans="1:10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0</v>
      </c>
      <c r="J1" s="1" t="s">
        <v>13</v>
      </c>
    </row>
    <row r="2" spans="1:10">
      <c r="A2" s="2" t="s">
        <v>14</v>
      </c>
      <c r="B2" s="2" t="s">
        <v>15</v>
      </c>
      <c r="C2" s="2" t="s">
        <v>16</v>
      </c>
      <c r="D2" s="2" t="s">
        <v>17</v>
      </c>
      <c r="E2" s="2">
        <v>30</v>
      </c>
      <c r="F2" s="2">
        <v>29</v>
      </c>
      <c r="G2" s="2">
        <v>1</v>
      </c>
      <c r="H2" s="3">
        <f>F2/(F2+G2)</f>
        <v>0.96666666666666667</v>
      </c>
      <c r="I2" s="2" t="s">
        <v>2</v>
      </c>
      <c r="J2" s="2"/>
    </row>
  </sheetData>
  <conditionalFormatting sqref="H2">
    <cfRule type="cellIs" dxfId="5" priority="3" operator="between">
      <formula>50%</formula>
      <formula>99%</formula>
    </cfRule>
  </conditionalFormatting>
  <conditionalFormatting sqref="H2">
    <cfRule type="cellIs" dxfId="4" priority="2" operator="greaterThanOrEqual">
      <formula>100%</formula>
    </cfRule>
  </conditionalFormatting>
  <conditionalFormatting sqref="H2">
    <cfRule type="cellIs" dxfId="3" priority="1" operator="lessThan">
      <formula>50%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C7FE-A412-4AF5-BF0F-5B841CF89CAF}">
  <dimension ref="A1:E3"/>
  <sheetViews>
    <sheetView tabSelected="1" workbookViewId="0">
      <selection activeCell="G11" sqref="G11"/>
    </sheetView>
  </sheetViews>
  <sheetFormatPr defaultRowHeight="15"/>
  <cols>
    <col min="1" max="1" width="28" style="2" bestFit="1" customWidth="1"/>
    <col min="2" max="2" width="16.28515625" style="2" bestFit="1" customWidth="1"/>
    <col min="3" max="4" width="16.42578125" style="2" bestFit="1" customWidth="1"/>
    <col min="5" max="5" width="12.7109375" style="2" bestFit="1" customWidth="1"/>
  </cols>
  <sheetData>
    <row r="1" spans="1: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</row>
    <row r="2" spans="1:5">
      <c r="A2" s="2">
        <f>SUM(Taches!E:E)</f>
        <v>30</v>
      </c>
      <c r="B2" s="2">
        <f>SUM(Taches!F:F)</f>
        <v>29</v>
      </c>
      <c r="C2" s="2">
        <f>SUM(Taches!G:G)</f>
        <v>1</v>
      </c>
      <c r="D2" s="3">
        <f>B2/(B2+C2)</f>
        <v>0.96666666666666667</v>
      </c>
      <c r="E2" s="3">
        <f>((B2+C2)-A2)/A2</f>
        <v>0</v>
      </c>
    </row>
    <row r="3" spans="1:5">
      <c r="A3" s="2" t="str">
        <f>IF(A2&lt;60,
   A2 &amp; " min",
   INT(A2/60) &amp; " h " &amp; MOD(A2,60) &amp; " min"
)</f>
        <v>30 min</v>
      </c>
      <c r="B3" s="2" t="str">
        <f t="shared" ref="B3:C3" si="0">IF(B2&lt;60,
   B2 &amp; " min",
   INT(B2/60) &amp; " h " &amp; MOD(B2,60) &amp; " min"
)</f>
        <v>29 min</v>
      </c>
      <c r="C3" s="2" t="str">
        <f t="shared" si="0"/>
        <v>1 min</v>
      </c>
    </row>
  </sheetData>
  <conditionalFormatting sqref="D2">
    <cfRule type="cellIs" dxfId="2" priority="3" operator="greaterThanOrEqual">
      <formula>100%</formula>
    </cfRule>
  </conditionalFormatting>
  <conditionalFormatting sqref="D2">
    <cfRule type="cellIs" dxfId="1" priority="2" operator="between">
      <formula>50%</formula>
      <formula>99%</formula>
    </cfRule>
  </conditionalFormatting>
  <conditionalFormatting sqref="D2">
    <cfRule type="cellIs" dxfId="0" priority="1" operator="lessThan">
      <formula>50%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2026-01-13T18:05:59Z</dcterms:created>
  <dcterms:modified xsi:type="dcterms:W3CDTF">2026-01-13T18:55:34Z</dcterms:modified>
  <cp:category/>
  <cp:contentStatus/>
</cp:coreProperties>
</file>