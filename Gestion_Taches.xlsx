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leau" sheetId="1" state="visible" r:id="rId3"/>
    <sheet name="Taches" sheetId="2" state="visible" r:id="rId4"/>
    <sheet name="Global" sheetId="3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<sst xmlns="http://schemas.openxmlformats.org/spreadsheetml/2006/main" count="37" uniqueCount="31">
  <si>
    <t xml:space="preserve">Qui</t>
  </si>
  <si>
    <t xml:space="preserve">Somme de Estimation</t>
  </si>
  <si>
    <t xml:space="preserve">Ryan</t>
  </si>
  <si>
    <t xml:space="preserve">(vide)</t>
  </si>
  <si>
    <t xml:space="preserve">Jo</t>
  </si>
  <si>
    <t xml:space="preserve">Mandresy</t>
  </si>
  <si>
    <t xml:space="preserve">Total Résultat</t>
  </si>
  <si>
    <t xml:space="preserve">Module</t>
  </si>
  <si>
    <t xml:space="preserve">Page </t>
  </si>
  <si>
    <t xml:space="preserve">Description 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</si>
  <si>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</si>
  <si>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</si>
  <si>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</si>
  <si>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</si>
  <si>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</si>
  <si>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 </t>
  </si>
  <si>
    <t xml:space="preserve">Flight</t>
  </si>
  <si>
    <t xml:space="preserve">APP</t>
  </si>
  <si>
    <t xml:space="preserve">Mise en place </t>
  </si>
  <si>
    <t xml:space="preserve">Structure</t>
  </si>
  <si>
    <t xml:space="preserve">BDD</t>
  </si>
  <si>
    <t xml:space="preserve">config.php</t>
  </si>
  <si>
    <t xml:space="preserve">Connexion a la base </t>
  </si>
  <si>
    <t xml:space="preserve">Base</t>
  </si>
  <si>
    <t xml:space="preserve">base.sql</t>
  </si>
  <si>
    <t xml:space="preserve">Schema de la base</t>
  </si>
  <si>
    <t xml:space="preserve">Estimation total</t>
  </si>
  <si>
    <t xml:space="preserve">Temps passé total</t>
  </si>
  <si>
    <t xml:space="preserve">Reste à faire total</t>
  </si>
  <si>
    <t xml:space="preserve">Avancement </t>
  </si>
  <si>
    <t xml:space="preserve">Dépassement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</si>
</sst>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 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3999"/>
        <bgColor rgb="FFC0C0C0"/>
      </patternFill>
    </fill>
    <fill>
      <patternFill patternType="solid">
        <fgColor theme="8" tint="0.7999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in de la table dynamique" xfId="20"/>
    <cellStyle name="Valeur de la table dynamique" xfId="21"/>
    <cellStyle name="Champ de la table dynamique" xfId="22"/>
    <cellStyle name="Catégorie de la table dynamique" xfId="23"/>
    <cellStyle name="Titre de la table dynamique" xfId="24"/>
    <cellStyle name="Résultat de la table dynamique" xfId="2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DC3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" createdVersion="3">
  <cacheSource type="worksheet">
    <worksheetSource ref="A:J" sheet="Taches"/>
  </cacheSource>
  <cacheFields count="10">
    <cacheField name="Module" numFmtId="0">
      <sharedItems containsBlank="1" count="3">
        <s v="BDD"/>
        <s v="Flight"/>
        <m/>
      </sharedItems>
    </cacheField>
    <cacheField name="Page " numFmtId="0">
      <sharedItems containsBlank="1" count="4">
        <s v="APP"/>
        <s v="base.sql"/>
        <s v="config.php"/>
        <m/>
      </sharedItems>
    </cacheField>
    <cacheField name="Description " numFmtId="0">
      <sharedItems containsBlank="1" count="4">
        <s v="Connexion a la base "/>
        <s v="Mise en place "/>
        <s v="Schema de la base"/>
        <m/>
      </sharedItems>
    </cacheField>
    <cacheField name="Type" numFmtId="0">
      <sharedItems containsBlank="1" count="3">
        <s v="Base"/>
        <s v="Structure"/>
        <m/>
      </sharedItems>
    </cacheField>
    <cacheField name="Estimation" numFmtId="0">
      <sharedItems containsString="0" containsBlank="1" containsNumber="1" containsInteger="1" minValue="5" maxValue="15" count="3">
        <n v="5"/>
        <n v="15"/>
        <m/>
      </sharedItems>
    </cacheField>
    <cacheField name="Temps passé" numFmtId="0">
      <sharedItems containsString="0" containsBlank="1" containsNumber="1" containsInteger="1" minValue="0" maxValue="5" count="3">
        <n v="0"/>
        <n v="5"/>
        <m/>
      </sharedItems>
    </cacheField>
    <cacheField name="Reste à faire" numFmtId="0">
      <sharedItems containsString="0" containsBlank="1" containsNumber="1" containsInteger="1" minValue="0" maxValue="15" count="3">
        <n v="0"/>
        <n v="15"/>
        <m/>
      </sharedItems>
    </cacheField>
    <cacheField name="Avancement" numFmtId="0">
      <sharedItems containsString="0" containsBlank="1" containsNumber="1" containsInteger="1" minValue="0" maxValue="1" count="3">
        <n v="0"/>
        <n v="1"/>
        <m/>
      </sharedItems>
    </cacheField>
    <cacheField name="Qui" numFmtId="0">
      <sharedItems containsBlank="1" count="4">
        <s v="Jo"/>
        <s v="Mandresy"/>
        <s v="Ryan"/>
        <m/>
      </sharedItems>
    </cacheField>
    <cacheField name="Status 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1"/>
    <x v="0"/>
    <x v="1"/>
    <x v="1"/>
    <x v="0"/>
    <x v="1"/>
    <x v="0"/>
    <x v="1"/>
    <x v="2"/>
    <x v="0"/>
  </r>
  <r>
    <x v="0"/>
    <x v="2"/>
    <x v="0"/>
    <x v="0"/>
    <x v="0"/>
    <x v="1"/>
    <x v="0"/>
    <x v="1"/>
    <x v="0"/>
    <x v="0"/>
  </r>
  <r>
    <x v="0"/>
    <x v="1"/>
    <x v="2"/>
    <x v="0"/>
    <x v="1"/>
    <x v="0"/>
    <x v="1"/>
    <x v="0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B8" firstHeaderRow="1" firstDataRow="1" firstDataCol="1"/>
  <pivotFields count="10"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  <pivotField axis="axisRow" compact="0" showAll="0" outline="0">
      <items count="5">
        <item x="2"/>
        <item x="3"/>
        <item x="0"/>
        <item x="1"/>
        <item t="default"/>
      </items>
    </pivotField>
    <pivotField compact="0" showAll="0" outline="0"/>
  </pivotFields>
  <rowFields count="1">
    <field x="8"/>
  </rowFields>
  <dataFields count="1">
    <dataField name="Somme de Estimation" fld="4" subtotal="sum" numFmtId="164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20.29"/>
    <col collapsed="false" customWidth="true" hidden="false" outlineLevel="0" max="3" min="3" style="0" width="6"/>
    <col collapsed="false" customWidth="true" hidden="false" outlineLevel="0" max="4" min="4" style="0" width="12.29"/>
  </cols>
  <sheetData>
    <row r="3" customFormat="false" ht="15" hidden="false" customHeight="false" outlineLevel="0" collapsed="false">
      <c r="A3" s="1" t="s">
        <v>0</v>
      </c>
      <c r="B3" s="2" t="s">
        <v>1</v>
      </c>
    </row>
    <row r="4" customFormat="false" ht="15" hidden="false" customHeight="false" outlineLevel="0" collapsed="false">
      <c r="A4" s="3" t="s">
        <v>2</v>
      </c>
      <c r="B4" s="4" t="n">
        <v>5</v>
      </c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n">
        <v>5</v>
      </c>
    </row>
    <row r="7" customFormat="false" ht="15" hidden="false" customHeight="false" outlineLevel="0" collapsed="false">
      <c r="A7" s="5" t="s">
        <v>5</v>
      </c>
      <c r="B7" s="7" t="n">
        <v>15</v>
      </c>
    </row>
    <row r="8" customFormat="false" ht="15" hidden="false" customHeight="false" outlineLevel="0" collapsed="false">
      <c r="A8" s="8" t="s">
        <v>6</v>
      </c>
      <c r="B8" s="9" t="n">
        <v>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5" activeCellId="0" sqref="J5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10.45"/>
    <col collapsed="false" customWidth="true" hidden="false" outlineLevel="0" max="3" min="3" style="0" width="18.79"/>
    <col collapsed="false" customWidth="true" hidden="false" outlineLevel="0" max="5" min="5" style="0" width="10.14"/>
    <col collapsed="false" customWidth="true" hidden="false" outlineLevel="0" max="6" min="6" style="0" width="11.86"/>
    <col collapsed="false" customWidth="true" hidden="false" outlineLevel="0" max="7" min="7" style="0" width="11.57"/>
    <col collapsed="false" customWidth="true" hidden="false" outlineLevel="0" max="8" min="8" style="0" width="11.86"/>
    <col collapsed="false" customWidth="true" hidden="false" outlineLevel="0" max="9" min="9" style="0" width="9.84"/>
  </cols>
  <sheetData>
    <row r="1" customFormat="false" ht="15" hidden="false" customHeight="false" outlineLevel="0" collapsed="false">
      <c r="A1" s="10" t="s">
        <v>7</v>
      </c>
      <c r="B1" s="10" t="s">
        <v>8</v>
      </c>
      <c r="C1" s="10" t="s">
        <v>9</v>
      </c>
      <c r="D1" s="10" t="s">
        <v>10</v>
      </c>
      <c r="E1" s="10" t="s">
        <v>11</v>
      </c>
      <c r="F1" s="10" t="s">
        <v>12</v>
      </c>
      <c r="G1" s="10" t="s">
        <v>13</v>
      </c>
      <c r="H1" s="10" t="s">
        <v>14</v>
      </c>
      <c r="I1" s="10" t="s">
        <v>0</v>
      </c>
      <c r="J1" s="10" t="s">
        <v>15</v>
      </c>
    </row>
    <row r="2" customFormat="false" ht="16.4" hidden="false" customHeight="false" outlineLevel="0" collapsed="false">
      <c r="A2" s="11" t="s">
        <v>16</v>
      </c>
      <c r="B2" s="11" t="s">
        <v>17</v>
      </c>
      <c r="C2" s="11" t="s">
        <v>18</v>
      </c>
      <c r="D2" s="11" t="s">
        <v>19</v>
      </c>
      <c r="E2" s="11" t="n">
        <v>5</v>
      </c>
      <c r="F2" s="11" t="n">
        <v>5</v>
      </c>
      <c r="G2" s="11" t="n">
        <v>0</v>
      </c>
      <c r="H2" s="12" t="n">
        <f aca="false">F2/(F2+G2)</f>
        <v>1</v>
      </c>
      <c r="I2" s="11" t="s">
        <v>2</v>
      </c>
      <c r="J2" s="11"/>
    </row>
    <row r="3" customFormat="false" ht="16.4" hidden="false" customHeight="false" outlineLevel="0" collapsed="false">
      <c r="A3" s="0" t="s">
        <v>20</v>
      </c>
      <c r="B3" s="0" t="s">
        <v>21</v>
      </c>
      <c r="C3" s="0" t="s">
        <v>22</v>
      </c>
      <c r="D3" s="0" t="s">
        <v>23</v>
      </c>
      <c r="E3" s="0" t="n">
        <v>5</v>
      </c>
      <c r="F3" s="0" t="n">
        <v>5</v>
      </c>
      <c r="G3" s="0" t="n">
        <v>0</v>
      </c>
      <c r="H3" s="12" t="n">
        <f aca="false">F3/(F3+G3)</f>
        <v>1</v>
      </c>
      <c r="I3" s="11" t="s">
        <v>4</v>
      </c>
    </row>
    <row r="4" customFormat="false" ht="16.4" hidden="false" customHeight="false" outlineLevel="0" collapsed="false">
      <c r="A4" s="0" t="s">
        <v>20</v>
      </c>
      <c r="B4" s="0" t="s">
        <v>24</v>
      </c>
      <c r="C4" s="0" t="s">
        <v>25</v>
      </c>
      <c r="D4" s="0" t="s">
        <v>23</v>
      </c>
      <c r="E4" s="0" t="n">
        <v>15</v>
      </c>
      <c r="F4" s="0" t="n">
        <v>0</v>
      </c>
      <c r="G4" s="0" t="n">
        <v>15</v>
      </c>
      <c r="H4" s="12" t="n">
        <f aca="false">F4/(F4+G4)</f>
        <v>0</v>
      </c>
      <c r="I4" s="11" t="s">
        <v>2</v>
      </c>
    </row>
  </sheetData>
  <conditionalFormatting sqref="H2:H4">
    <cfRule type="cellIs" priority="2" operator="lessThan" aboveAverage="0" equalAverage="0" bottom="0" percent="0" rank="0" text="" dxfId="0">
      <formula>50%</formula>
    </cfRule>
  </conditionalFormatting>
  <conditionalFormatting sqref="H2:H4">
    <cfRule type="cellIs" priority="3" operator="greaterThanOrEqual" aboveAverage="0" equalAverage="0" bottom="0" percent="0" rank="0" text="" dxfId="1">
      <formula>100%</formula>
    </cfRule>
  </conditionalFormatting>
  <conditionalFormatting sqref="H2:H4">
    <cfRule type="cellIs" priority="4" operator="between" aboveAverage="0" equalAverage="0" bottom="0" percent="0" rank="0" text="" dxfId="2">
      <formula>50%</formula>
      <formula>99%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59765625" defaultRowHeight="15" zeroHeight="false" outlineLevelRow="0" outlineLevelCol="0"/>
  <cols>
    <col collapsed="false" customWidth="true" hidden="false" outlineLevel="0" max="1" min="1" style="11" width="28"/>
    <col collapsed="false" customWidth="true" hidden="false" outlineLevel="0" max="2" min="2" style="11" width="16.29"/>
    <col collapsed="false" customWidth="true" hidden="false" outlineLevel="0" max="4" min="3" style="11" width="16.43"/>
    <col collapsed="false" customWidth="true" hidden="false" outlineLevel="0" max="5" min="5" style="11" width="12.72"/>
  </cols>
  <sheetData>
    <row r="1" customFormat="false" ht="15" hidden="false" customHeight="false" outlineLevel="0" collapsed="false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</row>
    <row r="2" customFormat="false" ht="16.4" hidden="false" customHeight="false" outlineLevel="0" collapsed="false">
      <c r="A2" s="11" t="n">
        <f aca="false">SUM(Taches!E:E)</f>
        <v>25</v>
      </c>
      <c r="B2" s="11" t="n">
        <f aca="false">SUM(Taches!F:F)</f>
        <v>10</v>
      </c>
      <c r="C2" s="11" t="n">
        <f aca="false">SUM(Taches!G:G)</f>
        <v>15</v>
      </c>
      <c r="D2" s="12" t="n">
        <f aca="false">B2/(B2+C2)</f>
        <v>0.4</v>
      </c>
      <c r="E2" s="12" t="n">
        <f aca="false">((B2+C2)-A2)/A2</f>
        <v>0</v>
      </c>
    </row>
    <row r="3" customFormat="false" ht="15" hidden="false" customHeight="false" outlineLevel="0" collapsed="false">
      <c r="A3" s="11" t="str">
        <f aca="false">IF(A2&lt;60,
   A2 &amp; " min",
   INT(A2/60) &amp; " h " &amp; MOD(A2,60) &amp; " min"
)</f>
        <v>25 min</v>
      </c>
      <c r="B3" s="11" t="str">
        <f aca="false">IF(B2&lt;60,
   B2 &amp; " min",
   INT(B2/60) &amp; " h " &amp; MOD(B2,60) &amp; " min"
)</f>
        <v>10 min</v>
      </c>
      <c r="C3" s="11" t="str">
        <f aca="false">IF(C2&lt;60,
   C2 &amp; " min",
   INT(C2/60) &amp; " h " &amp; MOD(C2,60) &amp; " min"
)</f>
        <v>15 min</v>
      </c>
    </row>
  </sheetData>
  <conditionalFormatting sqref="D2">
    <cfRule type="cellIs" priority="2" operator="lessThan" aboveAverage="0" equalAverage="0" bottom="0" percent="0" rank="0" text="" dxfId="3">
      <formula>50%</formula>
    </cfRule>
  </conditionalFormatting>
  <conditionalFormatting sqref="D2">
    <cfRule type="cellIs" priority="3" operator="between" aboveAverage="0" equalAverage="0" bottom="0" percent="0" rank="0" text="" dxfId="4">
      <formula>50%</formula>
      <formula>99%</formula>
    </cfRule>
  </conditionalFormatting>
  <conditionalFormatting sqref="D2">
    <cfRule type="cellIs" priority="4" operator="greaterThanOrEqual" aboveAverage="0" equalAverage="0" bottom="0" percent="0" rank="0" text="" dxfId="5">
      <formula>100%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2026-01-13T18:05:59Z</dcterms:created>
  <dc:creator/>
  <dc:description/>
  <dc:language>fr-FR</dc:language>
  <cp:lastModifiedBy/>
  <dcterms:modified xsi:type="dcterms:W3CDTF">2026-02-09T16:04:08Z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